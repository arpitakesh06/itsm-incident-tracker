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e317256023783a/Documents/"/>
    </mc:Choice>
  </mc:AlternateContent>
  <xr:revisionPtr revIDLastSave="2" documentId="8_{B4F31637-7840-4630-9934-776CE3BA552F}" xr6:coauthVersionLast="47" xr6:coauthVersionMax="47" xr10:uidLastSave="{6BB07FEE-A585-4517-949A-B34D832B7AF9}"/>
  <bookViews>
    <workbookView xWindow="-108" yWindow="-108" windowWidth="23256" windowHeight="12456" activeTab="4" xr2:uid="{BC93EECC-60E9-452F-B5C5-9043318689CA}"/>
  </bookViews>
  <sheets>
    <sheet name="Incident Log" sheetId="1" r:id="rId1"/>
    <sheet name="Problem Records" sheetId="2" r:id="rId2"/>
    <sheet name=" KEDB" sheetId="3" r:id="rId3"/>
    <sheet name="Change Requests" sheetId="4" r:id="rId4"/>
    <sheet name="Dashboard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9" i="7"/>
  <c r="B10" i="7"/>
  <c r="B13" i="7" s="1"/>
  <c r="B12" i="7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M10" i="1"/>
  <c r="M3" i="1"/>
  <c r="M4" i="1"/>
  <c r="M5" i="1"/>
  <c r="M6" i="1"/>
  <c r="M7" i="1"/>
  <c r="M8" i="1"/>
  <c r="M9" i="1"/>
  <c r="L3" i="1"/>
  <c r="L4" i="1"/>
  <c r="L5" i="1"/>
  <c r="L6" i="1"/>
  <c r="L7" i="1"/>
  <c r="L8" i="1"/>
  <c r="L9" i="1"/>
  <c r="L10" i="1"/>
  <c r="L2" i="1"/>
  <c r="M2" i="1" s="1"/>
</calcChain>
</file>

<file path=xl/sharedStrings.xml><?xml version="1.0" encoding="utf-8"?>
<sst xmlns="http://schemas.openxmlformats.org/spreadsheetml/2006/main" count="573" uniqueCount="219">
  <si>
    <t>Incident ID</t>
  </si>
  <si>
    <t>Title</t>
  </si>
  <si>
    <t>category</t>
  </si>
  <si>
    <t>Priority</t>
  </si>
  <si>
    <t>Status</t>
  </si>
  <si>
    <t>Assigned To</t>
  </si>
  <si>
    <t>Affected Service</t>
  </si>
  <si>
    <t>Date Opened</t>
  </si>
  <si>
    <t>Time Opened</t>
  </si>
  <si>
    <t>Date Closed</t>
  </si>
  <si>
    <t>Time Closed</t>
  </si>
  <si>
    <t>MTTR (hrs)</t>
  </si>
  <si>
    <t>SLA Breach</t>
  </si>
  <si>
    <t>Resolution Notes</t>
  </si>
  <si>
    <t>INC001</t>
  </si>
  <si>
    <t>Application Outage</t>
  </si>
  <si>
    <t>Application</t>
  </si>
  <si>
    <t>P1</t>
  </si>
  <si>
    <t>Resolved</t>
  </si>
  <si>
    <t>Priya Sharma</t>
  </si>
  <si>
    <t>Customer Portal</t>
  </si>
  <si>
    <t>Application server restarted, root cause identified as memory leak</t>
  </si>
  <si>
    <t>INC002</t>
  </si>
  <si>
    <t>Database Connection Failure</t>
  </si>
  <si>
    <t>Database</t>
  </si>
  <si>
    <t>P2</t>
  </si>
  <si>
    <t>Rahul Mehta</t>
  </si>
  <si>
    <t>Payment Service</t>
  </si>
  <si>
    <t>DB connection pool exhausted, increased pool size and restarted service</t>
  </si>
  <si>
    <t>Authentication Service Failur</t>
  </si>
  <si>
    <t>INC003</t>
  </si>
  <si>
    <t>Security</t>
  </si>
  <si>
    <t>Amit Verma</t>
  </si>
  <si>
    <t>Login Portal</t>
  </si>
  <si>
    <t>SSO token expiry issue fixed, auth service restarted</t>
  </si>
  <si>
    <t>INC004</t>
  </si>
  <si>
    <t>INC005</t>
  </si>
  <si>
    <t>Storage Degradation</t>
  </si>
  <si>
    <t>Infrastructure</t>
  </si>
  <si>
    <t>Server Unreachable</t>
  </si>
  <si>
    <t>Sneha Patil</t>
  </si>
  <si>
    <t>Internal HR System</t>
  </si>
  <si>
    <t>Server rebooted after hardware fault detected, monitoring enabled</t>
  </si>
  <si>
    <t>File Storage Services</t>
  </si>
  <si>
    <t>Disk cleanup performed, storage alerts cleared</t>
  </si>
  <si>
    <t>API Gateway Timeout</t>
  </si>
  <si>
    <t>INC006</t>
  </si>
  <si>
    <t>INC007</t>
  </si>
  <si>
    <t>INC008</t>
  </si>
  <si>
    <t>INC009</t>
  </si>
  <si>
    <t>Payment API</t>
  </si>
  <si>
    <t>API rate limit increased, timeout threshold adjusted</t>
  </si>
  <si>
    <t>Email Service Down</t>
  </si>
  <si>
    <t>P3</t>
  </si>
  <si>
    <t>Email Notification Service</t>
  </si>
  <si>
    <t>SMTP server credentials rotated, service restored</t>
  </si>
  <si>
    <t>High CPU Alert</t>
  </si>
  <si>
    <t>App Server Cluster</t>
  </si>
  <si>
    <t>Runaway process identified and killed, CPU normalised</t>
  </si>
  <si>
    <t>SSL Certificate Expiry</t>
  </si>
  <si>
    <t>Customer Facing Website</t>
  </si>
  <si>
    <t>SSL certificate renewed and deployed successfully</t>
  </si>
  <si>
    <t>Problem ID</t>
  </si>
  <si>
    <t>Linked Incident IDs</t>
  </si>
  <si>
    <t>Problem Title</t>
  </si>
  <si>
    <t>Category</t>
  </si>
  <si>
    <t>Root Cause</t>
  </si>
  <si>
    <t>Workaround</t>
  </si>
  <si>
    <t>Date Raised</t>
  </si>
  <si>
    <t>PRB001</t>
  </si>
  <si>
    <t>INC001, INC004</t>
  </si>
  <si>
    <t>Recurring Application Server Crashes</t>
  </si>
  <si>
    <t>Memory leak in application code causing server crashes</t>
  </si>
  <si>
    <t>Restart application server every 6 hours as temporary fix</t>
  </si>
  <si>
    <t>Date Resolved</t>
  </si>
  <si>
    <t>PRB002</t>
  </si>
  <si>
    <t>PRB003</t>
  </si>
  <si>
    <t>PRB004</t>
  </si>
  <si>
    <t>PRB005</t>
  </si>
  <si>
    <t>Database Connection Pool Exhaustion</t>
  </si>
  <si>
    <t>Connection pool size too low for peak traffic</t>
  </si>
  <si>
    <t>Manually increase connection pool size during peak hours</t>
  </si>
  <si>
    <t>INC003, INC005</t>
  </si>
  <si>
    <t>Infrastructure Instability</t>
  </si>
  <si>
    <t>In Progress</t>
  </si>
  <si>
    <t>Aging hardware causing intermittent failures</t>
  </si>
  <si>
    <t>Monitor closely and reboot affected servers proactively</t>
  </si>
  <si>
    <t>``</t>
  </si>
  <si>
    <t>API Gateway Timeout Under Load</t>
  </si>
  <si>
    <t>Rate limit too low for high traffic periods</t>
  </si>
  <si>
    <t>Temporarily increase rate limit during business hours</t>
  </si>
  <si>
    <t>INC007, INC009</t>
  </si>
  <si>
    <t>Recurring Security Certificate Issues</t>
  </si>
  <si>
    <t>No automated SSL certificate renewal process in place</t>
  </si>
  <si>
    <t>Manual certificate renewal every 90 days until automation implemented</t>
  </si>
  <si>
    <t>KEDB ID</t>
  </si>
  <si>
    <t>Error Title</t>
  </si>
  <si>
    <t>Symptoms</t>
  </si>
  <si>
    <t>Linked Problem ID</t>
  </si>
  <si>
    <t>Last Updated</t>
  </si>
  <si>
    <t>KEDB001</t>
  </si>
  <si>
    <t>Application Server Memory Leak</t>
  </si>
  <si>
    <t>High memory usage, server crashes, slow response</t>
  </si>
  <si>
    <t>Restart application server, monitor memory every 2 hours</t>
  </si>
  <si>
    <t>KEDB002</t>
  </si>
  <si>
    <t>KEDB003</t>
  </si>
  <si>
    <t>KEDB004</t>
  </si>
  <si>
    <t>KEDB005</t>
  </si>
  <si>
    <t>KEDB006</t>
  </si>
  <si>
    <t>KEDB007</t>
  </si>
  <si>
    <t>KEDB008</t>
  </si>
  <si>
    <t>KEDB009</t>
  </si>
  <si>
    <t>KEDB010</t>
  </si>
  <si>
    <t>Connection timeout errors, service unavailable</t>
  </si>
  <si>
    <t>Increase connection pool size, restart DB service</t>
  </si>
  <si>
    <t>Server Hardware Failure</t>
  </si>
  <si>
    <t>Server unreachable, ping failure, service down</t>
  </si>
  <si>
    <t>Reboot server, failover to backup if available</t>
  </si>
  <si>
    <t>504 errors, slow API response, request failures</t>
  </si>
  <si>
    <t>Increase rate limit, restart API gateway service</t>
  </si>
  <si>
    <t>HTTPS errors, browser warnings, service inaccessible</t>
  </si>
  <si>
    <t>Renew SSL certificate immediately, deploy to server</t>
  </si>
  <si>
    <t>SSO Token Expiry</t>
  </si>
  <si>
    <t>Login failures, authentication errors, session timeout</t>
  </si>
  <si>
    <t>Restart auth service, rotate SSO tokens</t>
  </si>
  <si>
    <t>PRB006</t>
  </si>
  <si>
    <t>Disk Space Critical</t>
  </si>
  <si>
    <t>Slow system performance, write failures, alerts firing</t>
  </si>
  <si>
    <t>Run disk cleanup, archive old logs, expand storage</t>
  </si>
  <si>
    <t>Rotate SMTP credentials, restart email service</t>
  </si>
  <si>
    <t>Emails not sending, notification service down</t>
  </si>
  <si>
    <t>SMTP Server Authentication Failure</t>
  </si>
  <si>
    <t>High CPU Usage on App Server</t>
  </si>
  <si>
    <t>Slow application response, CPU above 90%</t>
  </si>
  <si>
    <t>Identify and kill runaway process, scale up server</t>
  </si>
  <si>
    <t>Clear disk space, restart storage service</t>
  </si>
  <si>
    <t>File upload failures, storage read errors</t>
  </si>
  <si>
    <t>Storage Service Degradation</t>
  </si>
  <si>
    <t>CR ID</t>
  </si>
  <si>
    <t>Change Type</t>
  </si>
  <si>
    <t>Risk Level</t>
  </si>
  <si>
    <t>CAB Approval</t>
  </si>
  <si>
    <t>Implementation Window</t>
  </si>
  <si>
    <t>Notes</t>
  </si>
  <si>
    <t>CR001</t>
  </si>
  <si>
    <t>Fix Memory Leak in Application Code</t>
  </si>
  <si>
    <t>Normal</t>
  </si>
  <si>
    <t>High</t>
  </si>
  <si>
    <t>Approved</t>
  </si>
  <si>
    <t>21-06-2025 02:00 - 04:00</t>
  </si>
  <si>
    <t>Completed</t>
  </si>
  <si>
    <t>Code fix deployed, memory usage normalised post implementation</t>
  </si>
  <si>
    <t>CR002</t>
  </si>
  <si>
    <t>CR003</t>
  </si>
  <si>
    <t>CR004</t>
  </si>
  <si>
    <t>CR005</t>
  </si>
  <si>
    <t>Increase Database Connection Pool Size</t>
  </si>
  <si>
    <t>Medium</t>
  </si>
  <si>
    <t>26-06-2025 01:00 - 02:00</t>
  </si>
  <si>
    <t>Connection pool increased from 50 to 200, no further timeouts</t>
  </si>
  <si>
    <t>Hardware Replacement for Aging Servers</t>
  </si>
  <si>
    <t>Major</t>
  </si>
  <si>
    <t>Pending</t>
  </si>
  <si>
    <t>TBD</t>
  </si>
  <si>
    <t>Hardware procurement in progress, scheduled for next maintenance window</t>
  </si>
  <si>
    <t>Implement Automated SSL Certificate Renewal</t>
  </si>
  <si>
    <t>Low</t>
  </si>
  <si>
    <t>29-06-2025 00:00 - 01:00</t>
  </si>
  <si>
    <t>Auto renewal configured via certbot, alerts set for 30 days before expiry</t>
  </si>
  <si>
    <t>Increase API Gateway Rate Limit</t>
  </si>
  <si>
    <t>Standard</t>
  </si>
  <si>
    <t>01-07-2025 03:00 - 04:00</t>
  </si>
  <si>
    <t>Rate limit increased from 1000 to 5000 requests per minute, no further timeouts</t>
  </si>
  <si>
    <t>INC010</t>
  </si>
  <si>
    <t>INC011</t>
  </si>
  <si>
    <t>INC012</t>
  </si>
  <si>
    <t>INC013</t>
  </si>
  <si>
    <t>INC014</t>
  </si>
  <si>
    <t>INC015</t>
  </si>
  <si>
    <t>INC016</t>
  </si>
  <si>
    <t>INC017</t>
  </si>
  <si>
    <t>INC018</t>
  </si>
  <si>
    <t>INC019</t>
  </si>
  <si>
    <t>INC020</t>
  </si>
  <si>
    <t>INC021</t>
  </si>
  <si>
    <t>INC022</t>
  </si>
  <si>
    <t>INC023</t>
  </si>
  <si>
    <t>INC024</t>
  </si>
  <si>
    <t>INC025</t>
  </si>
  <si>
    <t>INC026</t>
  </si>
  <si>
    <t>INC027</t>
  </si>
  <si>
    <t>INC028</t>
  </si>
  <si>
    <t>INC029</t>
  </si>
  <si>
    <t>INC030</t>
  </si>
  <si>
    <t>INC031</t>
  </si>
  <si>
    <t>INC032</t>
  </si>
  <si>
    <t>INC033</t>
  </si>
  <si>
    <t>INC034</t>
  </si>
  <si>
    <t>INC035</t>
  </si>
  <si>
    <t>INC036</t>
  </si>
  <si>
    <t>INC037</t>
  </si>
  <si>
    <t>INC038</t>
  </si>
  <si>
    <t>INC039</t>
  </si>
  <si>
    <t>INC040</t>
  </si>
  <si>
    <t>INC041</t>
  </si>
  <si>
    <t>INC042</t>
  </si>
  <si>
    <t>INC043</t>
  </si>
  <si>
    <t>INC044</t>
  </si>
  <si>
    <t>INC045</t>
  </si>
  <si>
    <t>ITSM Incident Operations Dashboard</t>
  </si>
  <si>
    <t>Total Incidents</t>
  </si>
  <si>
    <t>P1 Incidents</t>
  </si>
  <si>
    <t>P2 Incidents</t>
  </si>
  <si>
    <t>P3 Incidents</t>
  </si>
  <si>
    <t>P4 Incidents</t>
  </si>
  <si>
    <t>SLA Breached</t>
  </si>
  <si>
    <t>SLA Met</t>
  </si>
  <si>
    <t>Average MTTR (hrs)</t>
  </si>
  <si>
    <t>SLA Compliance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</si>
</sst>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2" borderId="0" xfId="0" applyFont="1" applyFill="1"/>
    <xf numFmtId="0" fontId="0" fillId="0" borderId="0" xfId="0" applyFont="1"/>
    <xf numFmtId="14" fontId="0" fillId="0" borderId="0" xfId="0" applyNumberFormat="1"/>
    <xf numFmtId="20" fontId="0" fillId="0" borderId="0" xfId="0" applyNumberFormat="1"/>
    <xf numFmtId="14" fontId="0" fillId="0" borderId="0" xfId="0" applyNumberFormat="1" applyFont="1"/>
    <xf numFmtId="2" fontId="2" fillId="0" borderId="0" xfId="0" applyNumberFormat="1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A5BC-E4E2-4343-9B52-5442A22A3850}">
  <dimension ref="A1:N46"/>
  <sheetViews>
    <sheetView topLeftCell="F33" zoomScale="95" workbookViewId="0">
      <selection activeCell="J11" sqref="J11:J46"/>
    </sheetView>
  </sheetViews>
  <sheetFormatPr defaultRowHeight="14.4"/>
  <cols>
    <col min="1" max="1" width="11" style="1" customWidth="1"/>
    <col min="2" max="2" width="28" style="1" customWidth="1"/>
    <col min="3" max="3" width="14.109375" style="1" customWidth="1"/>
    <col min="4" max="5" width="8.88671875" style="1"/>
    <col min="6" max="6" width="13.109375" style="1" customWidth="1"/>
    <col min="7" max="7" width="23" style="1" customWidth="1"/>
    <col min="8" max="8" width="12.6640625" style="1" customWidth="1"/>
    <col min="9" max="9" width="11.5546875" style="1" customWidth="1"/>
    <col min="10" max="10" width="12.109375" style="1" customWidth="1"/>
    <col min="11" max="11" width="11.88671875" style="1" customWidth="1"/>
    <col min="12" max="12" width="10.88671875" style="1" customWidth="1"/>
    <col min="13" max="13" width="9.5546875" style="1" customWidth="1"/>
    <col min="14" max="14" width="59" style="1" customWidth="1"/>
  </cols>
  <sheetData>
    <row r="1" spans="1:14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 s="4" t="s">
        <v>17</v>
      </c>
      <c r="E2" t="s">
        <v>18</v>
      </c>
      <c r="F2" t="s">
        <v>19</v>
      </c>
      <c r="G2" t="s">
        <v>20</v>
      </c>
      <c r="H2" s="5">
        <v>45809</v>
      </c>
      <c r="I2" s="6">
        <v>0.375</v>
      </c>
      <c r="J2" s="5">
        <v>45809</v>
      </c>
      <c r="K2" s="6">
        <v>0.40763888888888888</v>
      </c>
      <c r="L2" s="8">
        <f>IFERROR((((J2-H2)*24)+(HOUR(K2)-HOUR(I2))+(MINUTE(K2)-MINUTE(I2))/60),"")</f>
        <v>0.78333333333333333</v>
      </c>
      <c r="M2" s="1" t="str">
        <f>IF(D2="P1",IF(L2&gt;4,"YES","NO"),IF(D2="P2",IF(L2&gt;8,"YES","NO"),IF(D2="P3",IF(L2&gt;24,"YES","NO"),IF(D2="P4",IF(L2&gt;48,"YES","NO"),""))))</f>
        <v>NO</v>
      </c>
      <c r="N2" t="s">
        <v>21</v>
      </c>
    </row>
    <row r="3" spans="1:14">
      <c r="A3" t="s">
        <v>22</v>
      </c>
      <c r="B3" t="s">
        <v>23</v>
      </c>
      <c r="C3" s="4" t="s">
        <v>24</v>
      </c>
      <c r="D3" s="4" t="s">
        <v>17</v>
      </c>
      <c r="E3" t="s">
        <v>18</v>
      </c>
      <c r="F3" s="4" t="s">
        <v>26</v>
      </c>
      <c r="G3" s="4" t="s">
        <v>27</v>
      </c>
      <c r="H3" s="7">
        <v>45813</v>
      </c>
      <c r="I3" s="6">
        <v>0.58333333333333337</v>
      </c>
      <c r="J3" s="5">
        <v>45813</v>
      </c>
      <c r="K3" s="6">
        <v>0.6333333333333333</v>
      </c>
      <c r="L3" s="1">
        <f t="shared" ref="L3:L10" si="0">IFERROR((((J3-H3)*24)+(HOUR(K3)-HOUR(I3))+(MINUTE(K3)-MINUTE(I3))/60),"")</f>
        <v>1.2</v>
      </c>
      <c r="M3" s="1" t="str">
        <f t="shared" ref="M3:M10" si="1">IF(D3="P1",IF(L3&gt;4,"YES","NO"),IF(D3="P2",IF(L3&gt;8,"YES","NO"),IF(D3="P3",IF(L3&gt;24,"YES","NO"),IF(D3="P4",IF(L3&gt;48,"YES","NO"),""))))</f>
        <v>NO</v>
      </c>
      <c r="N3" t="s">
        <v>28</v>
      </c>
    </row>
    <row r="4" spans="1:14">
      <c r="A4" t="s">
        <v>30</v>
      </c>
      <c r="B4" t="s">
        <v>39</v>
      </c>
      <c r="C4" t="s">
        <v>38</v>
      </c>
      <c r="D4" s="4" t="s">
        <v>25</v>
      </c>
      <c r="E4" t="s">
        <v>18</v>
      </c>
      <c r="F4" s="4" t="s">
        <v>40</v>
      </c>
      <c r="G4" t="s">
        <v>41</v>
      </c>
      <c r="H4" s="5">
        <v>45818</v>
      </c>
      <c r="I4" s="6">
        <v>0.47916666666666669</v>
      </c>
      <c r="J4" s="5">
        <v>45818</v>
      </c>
      <c r="K4" s="6">
        <v>0.54166666666666663</v>
      </c>
      <c r="L4" s="1">
        <f t="shared" si="0"/>
        <v>1.5</v>
      </c>
      <c r="M4" s="1" t="str">
        <f t="shared" si="1"/>
        <v>NO</v>
      </c>
      <c r="N4" t="s">
        <v>42</v>
      </c>
    </row>
    <row r="5" spans="1:14">
      <c r="A5" t="s">
        <v>35</v>
      </c>
      <c r="B5" t="s">
        <v>29</v>
      </c>
      <c r="C5" t="s">
        <v>31</v>
      </c>
      <c r="D5" s="4" t="s">
        <v>17</v>
      </c>
      <c r="E5" t="s">
        <v>18</v>
      </c>
      <c r="F5" s="4" t="s">
        <v>32</v>
      </c>
      <c r="G5" t="s">
        <v>33</v>
      </c>
      <c r="H5" s="5">
        <v>45820</v>
      </c>
      <c r="I5" s="6">
        <v>0.34375</v>
      </c>
      <c r="J5" s="5">
        <v>45820</v>
      </c>
      <c r="K5" s="6">
        <v>0.375</v>
      </c>
      <c r="L5" s="1">
        <f t="shared" si="0"/>
        <v>0.75</v>
      </c>
      <c r="M5" s="1" t="str">
        <f t="shared" si="1"/>
        <v>NO</v>
      </c>
      <c r="N5" t="s">
        <v>34</v>
      </c>
    </row>
    <row r="6" spans="1:14">
      <c r="A6" t="s">
        <v>36</v>
      </c>
      <c r="B6" t="s">
        <v>37</v>
      </c>
      <c r="C6" s="4" t="s">
        <v>38</v>
      </c>
      <c r="D6" s="4" t="s">
        <v>25</v>
      </c>
      <c r="E6" t="s">
        <v>18</v>
      </c>
      <c r="F6" s="4" t="s">
        <v>19</v>
      </c>
      <c r="G6" s="4" t="s">
        <v>43</v>
      </c>
      <c r="H6" s="5">
        <v>45823</v>
      </c>
      <c r="I6" s="6">
        <v>0.41666666666666669</v>
      </c>
      <c r="J6" s="7">
        <v>45823</v>
      </c>
      <c r="K6" s="6">
        <v>0.47916666666666669</v>
      </c>
      <c r="L6" s="1">
        <f t="shared" si="0"/>
        <v>1.5</v>
      </c>
      <c r="M6" s="1" t="str">
        <f t="shared" si="1"/>
        <v>NO</v>
      </c>
      <c r="N6" t="s">
        <v>44</v>
      </c>
    </row>
    <row r="7" spans="1:14">
      <c r="A7" t="s">
        <v>46</v>
      </c>
      <c r="B7" t="s">
        <v>45</v>
      </c>
      <c r="C7" s="4" t="s">
        <v>16</v>
      </c>
      <c r="D7" s="4" t="s">
        <v>25</v>
      </c>
      <c r="E7" s="4" t="s">
        <v>18</v>
      </c>
      <c r="F7" s="4" t="s">
        <v>26</v>
      </c>
      <c r="G7" t="s">
        <v>50</v>
      </c>
      <c r="H7" s="5">
        <v>45826</v>
      </c>
      <c r="I7" s="6">
        <v>0.54166666666666663</v>
      </c>
      <c r="J7" s="5">
        <v>45826</v>
      </c>
      <c r="K7" s="6">
        <v>0.59375</v>
      </c>
      <c r="L7" s="1">
        <f t="shared" si="0"/>
        <v>1.25</v>
      </c>
      <c r="M7" s="1" t="str">
        <f t="shared" si="1"/>
        <v>NO</v>
      </c>
      <c r="N7" t="s">
        <v>51</v>
      </c>
    </row>
    <row r="8" spans="1:14">
      <c r="A8" t="s">
        <v>47</v>
      </c>
      <c r="B8" t="s">
        <v>52</v>
      </c>
      <c r="C8" s="4" t="s">
        <v>16</v>
      </c>
      <c r="D8" s="4" t="s">
        <v>53</v>
      </c>
      <c r="E8" s="4" t="s">
        <v>18</v>
      </c>
      <c r="F8" s="4" t="s">
        <v>40</v>
      </c>
      <c r="G8" t="s">
        <v>54</v>
      </c>
      <c r="H8" s="5">
        <v>45828</v>
      </c>
      <c r="I8" s="6">
        <v>0.39583333333333331</v>
      </c>
      <c r="J8" s="5">
        <v>45828</v>
      </c>
      <c r="K8" s="6">
        <v>0.41666666666666669</v>
      </c>
      <c r="L8" s="1">
        <f t="shared" si="0"/>
        <v>0.5</v>
      </c>
      <c r="M8" s="1" t="str">
        <f t="shared" si="1"/>
        <v>NO</v>
      </c>
      <c r="N8" t="s">
        <v>55</v>
      </c>
    </row>
    <row r="9" spans="1:14">
      <c r="A9" t="s">
        <v>48</v>
      </c>
      <c r="B9" t="s">
        <v>56</v>
      </c>
      <c r="C9" s="4" t="s">
        <v>38</v>
      </c>
      <c r="D9" s="4" t="s">
        <v>25</v>
      </c>
      <c r="E9" s="4" t="s">
        <v>18</v>
      </c>
      <c r="F9" s="4" t="s">
        <v>32</v>
      </c>
      <c r="G9" t="s">
        <v>57</v>
      </c>
      <c r="H9" s="5">
        <v>45830</v>
      </c>
      <c r="I9" s="6">
        <v>0.66666666666666663</v>
      </c>
      <c r="J9" s="5">
        <v>45830</v>
      </c>
      <c r="K9" s="6">
        <v>0.72222222222222221</v>
      </c>
      <c r="L9" s="8">
        <f t="shared" si="0"/>
        <v>1.3333333333333333</v>
      </c>
      <c r="M9" s="1" t="str">
        <f t="shared" si="1"/>
        <v>NO</v>
      </c>
      <c r="N9" t="s">
        <v>58</v>
      </c>
    </row>
    <row r="10" spans="1:14">
      <c r="A10" t="s">
        <v>49</v>
      </c>
      <c r="B10" t="s">
        <v>59</v>
      </c>
      <c r="C10" s="4" t="s">
        <v>31</v>
      </c>
      <c r="D10" s="4" t="s">
        <v>53</v>
      </c>
      <c r="E10" s="4" t="s">
        <v>18</v>
      </c>
      <c r="F10" s="4" t="s">
        <v>19</v>
      </c>
      <c r="G10" t="s">
        <v>60</v>
      </c>
      <c r="H10" s="5">
        <v>45833</v>
      </c>
      <c r="I10" s="6">
        <v>0.33333333333333331</v>
      </c>
      <c r="J10" s="5">
        <v>45833</v>
      </c>
      <c r="K10" s="6">
        <v>0.36458333333333331</v>
      </c>
      <c r="L10" s="1">
        <f t="shared" si="0"/>
        <v>0.75</v>
      </c>
      <c r="M10" s="1" t="str">
        <f t="shared" si="1"/>
        <v>NO</v>
      </c>
      <c r="N10" t="s">
        <v>61</v>
      </c>
    </row>
    <row r="11" spans="1:14">
      <c r="A11" t="s">
        <v>173</v>
      </c>
      <c r="B11" t="s">
        <v>15</v>
      </c>
      <c r="C11" t="s">
        <v>16</v>
      </c>
      <c r="D11" s="4" t="s">
        <v>17</v>
      </c>
      <c r="E11" t="s">
        <v>18</v>
      </c>
      <c r="F11" t="s">
        <v>19</v>
      </c>
      <c r="G11" t="s">
        <v>20</v>
      </c>
      <c r="H11" s="5">
        <v>45840</v>
      </c>
      <c r="I11" s="6">
        <v>0.375</v>
      </c>
      <c r="J11" s="5">
        <v>45840</v>
      </c>
      <c r="K11" s="6">
        <v>0.40763888888888888</v>
      </c>
      <c r="L11" s="8">
        <f>IFERROR((((J11-H11)*24)+(HOUR(K11)-HOUR(I11))+(MINUTE(K11)-MINUTE(I11))/60),"")</f>
        <v>0.78333333333333333</v>
      </c>
      <c r="M11" s="1" t="str">
        <f>IF(D11="P1",IF(L11&gt;4,"YES","NO"),IF(D11="P2",IF(L11&gt;8,"YES","NO"),IF(D11="P3",IF(L11&gt;24,"YES","NO"),IF(D11="P4",IF(L11&gt;48,"YES","NO"),""))))</f>
        <v>NO</v>
      </c>
      <c r="N11" t="s">
        <v>21</v>
      </c>
    </row>
    <row r="12" spans="1:14">
      <c r="A12" t="s">
        <v>174</v>
      </c>
      <c r="B12" t="s">
        <v>23</v>
      </c>
      <c r="C12" s="4" t="s">
        <v>24</v>
      </c>
      <c r="D12" s="4" t="s">
        <v>17</v>
      </c>
      <c r="E12" t="s">
        <v>18</v>
      </c>
      <c r="F12" s="4" t="s">
        <v>26</v>
      </c>
      <c r="G12" s="4" t="s">
        <v>27</v>
      </c>
      <c r="H12" s="5">
        <v>45841</v>
      </c>
      <c r="I12" s="6">
        <v>0.58333333333333337</v>
      </c>
      <c r="J12" s="5">
        <v>45841</v>
      </c>
      <c r="K12" s="6">
        <v>0.6333333333333333</v>
      </c>
      <c r="L12" s="1">
        <f t="shared" ref="L12:L19" si="2">IFERROR((((J12-H12)*24)+(HOUR(K12)-HOUR(I12))+(MINUTE(K12)-MINUTE(I12))/60),"")</f>
        <v>1.2</v>
      </c>
      <c r="M12" s="1" t="str">
        <f t="shared" ref="M12:M19" si="3">IF(D12="P1",IF(L12&gt;4,"YES","NO"),IF(D12="P2",IF(L12&gt;8,"YES","NO"),IF(D12="P3",IF(L12&gt;24,"YES","NO"),IF(D12="P4",IF(L12&gt;48,"YES","NO"),""))))</f>
        <v>NO</v>
      </c>
      <c r="N12" t="s">
        <v>28</v>
      </c>
    </row>
    <row r="13" spans="1:14">
      <c r="A13" t="s">
        <v>175</v>
      </c>
      <c r="B13" t="s">
        <v>39</v>
      </c>
      <c r="C13" t="s">
        <v>38</v>
      </c>
      <c r="D13" s="4" t="s">
        <v>25</v>
      </c>
      <c r="E13" t="s">
        <v>18</v>
      </c>
      <c r="F13" s="4" t="s">
        <v>40</v>
      </c>
      <c r="G13" t="s">
        <v>41</v>
      </c>
      <c r="H13" s="5">
        <v>45842</v>
      </c>
      <c r="I13" s="6">
        <v>0.47916666666666669</v>
      </c>
      <c r="J13" s="5">
        <v>45842</v>
      </c>
      <c r="K13" s="6">
        <v>0.54166666666666663</v>
      </c>
      <c r="L13" s="1">
        <f t="shared" si="2"/>
        <v>1.5</v>
      </c>
      <c r="M13" s="1" t="str">
        <f t="shared" si="3"/>
        <v>NO</v>
      </c>
      <c r="N13" t="s">
        <v>42</v>
      </c>
    </row>
    <row r="14" spans="1:14">
      <c r="A14" t="s">
        <v>176</v>
      </c>
      <c r="B14" t="s">
        <v>29</v>
      </c>
      <c r="C14" t="s">
        <v>31</v>
      </c>
      <c r="D14" s="4" t="s">
        <v>17</v>
      </c>
      <c r="E14" t="s">
        <v>18</v>
      </c>
      <c r="F14" s="4" t="s">
        <v>32</v>
      </c>
      <c r="G14" t="s">
        <v>33</v>
      </c>
      <c r="H14" s="5">
        <v>45843</v>
      </c>
      <c r="I14" s="6">
        <v>0.34375</v>
      </c>
      <c r="J14" s="5">
        <v>45843</v>
      </c>
      <c r="K14" s="6">
        <v>0.375</v>
      </c>
      <c r="L14" s="1">
        <f t="shared" si="2"/>
        <v>0.75</v>
      </c>
      <c r="M14" s="1" t="str">
        <f t="shared" si="3"/>
        <v>NO</v>
      </c>
      <c r="N14" t="s">
        <v>34</v>
      </c>
    </row>
    <row r="15" spans="1:14">
      <c r="A15" t="s">
        <v>177</v>
      </c>
      <c r="B15" t="s">
        <v>37</v>
      </c>
      <c r="C15" s="4" t="s">
        <v>38</v>
      </c>
      <c r="D15" s="4" t="s">
        <v>25</v>
      </c>
      <c r="E15" t="s">
        <v>18</v>
      </c>
      <c r="F15" s="4" t="s">
        <v>19</v>
      </c>
      <c r="G15" s="4" t="s">
        <v>43</v>
      </c>
      <c r="H15" s="5">
        <v>45844</v>
      </c>
      <c r="I15" s="6">
        <v>0.41666666666666669</v>
      </c>
      <c r="J15" s="5">
        <v>45844</v>
      </c>
      <c r="K15" s="6">
        <v>0.47916666666666669</v>
      </c>
      <c r="L15" s="1">
        <f t="shared" si="2"/>
        <v>1.5</v>
      </c>
      <c r="M15" s="1" t="str">
        <f t="shared" si="3"/>
        <v>NO</v>
      </c>
      <c r="N15" t="s">
        <v>44</v>
      </c>
    </row>
    <row r="16" spans="1:14">
      <c r="A16" t="s">
        <v>178</v>
      </c>
      <c r="B16" t="s">
        <v>45</v>
      </c>
      <c r="C16" s="4" t="s">
        <v>16</v>
      </c>
      <c r="D16" s="4" t="s">
        <v>25</v>
      </c>
      <c r="E16" s="4" t="s">
        <v>18</v>
      </c>
      <c r="F16" s="4" t="s">
        <v>26</v>
      </c>
      <c r="G16" t="s">
        <v>50</v>
      </c>
      <c r="H16" s="5">
        <v>45845</v>
      </c>
      <c r="I16" s="6">
        <v>0.54166666666666663</v>
      </c>
      <c r="J16" s="5">
        <v>45845</v>
      </c>
      <c r="K16" s="6">
        <v>0.59375</v>
      </c>
      <c r="L16" s="1">
        <f t="shared" si="2"/>
        <v>1.25</v>
      </c>
      <c r="M16" s="1" t="str">
        <f t="shared" si="3"/>
        <v>NO</v>
      </c>
      <c r="N16" t="s">
        <v>51</v>
      </c>
    </row>
    <row r="17" spans="1:14">
      <c r="A17" t="s">
        <v>179</v>
      </c>
      <c r="B17" t="s">
        <v>52</v>
      </c>
      <c r="C17" s="4" t="s">
        <v>16</v>
      </c>
      <c r="D17" s="4" t="s">
        <v>53</v>
      </c>
      <c r="E17" s="4" t="s">
        <v>18</v>
      </c>
      <c r="F17" s="4" t="s">
        <v>40</v>
      </c>
      <c r="G17" t="s">
        <v>54</v>
      </c>
      <c r="H17" s="5">
        <v>45846</v>
      </c>
      <c r="I17" s="6">
        <v>0.39583333333333331</v>
      </c>
      <c r="J17" s="5">
        <v>45846</v>
      </c>
      <c r="K17" s="6">
        <v>0.41666666666666669</v>
      </c>
      <c r="L17" s="1">
        <f t="shared" si="2"/>
        <v>0.5</v>
      </c>
      <c r="M17" s="1" t="str">
        <f t="shared" si="3"/>
        <v>NO</v>
      </c>
      <c r="N17" t="s">
        <v>55</v>
      </c>
    </row>
    <row r="18" spans="1:14">
      <c r="A18" t="s">
        <v>180</v>
      </c>
      <c r="B18" t="s">
        <v>56</v>
      </c>
      <c r="C18" s="4" t="s">
        <v>38</v>
      </c>
      <c r="D18" s="4" t="s">
        <v>25</v>
      </c>
      <c r="E18" s="4" t="s">
        <v>18</v>
      </c>
      <c r="F18" s="4" t="s">
        <v>32</v>
      </c>
      <c r="G18" t="s">
        <v>57</v>
      </c>
      <c r="H18" s="5">
        <v>45847</v>
      </c>
      <c r="I18" s="6">
        <v>0.66666666666666663</v>
      </c>
      <c r="J18" s="5">
        <v>45847</v>
      </c>
      <c r="K18" s="6">
        <v>0.72222222222222221</v>
      </c>
      <c r="L18" s="8">
        <f t="shared" si="2"/>
        <v>1.3333333333333333</v>
      </c>
      <c r="M18" s="1" t="str">
        <f t="shared" si="3"/>
        <v>NO</v>
      </c>
      <c r="N18" t="s">
        <v>58</v>
      </c>
    </row>
    <row r="19" spans="1:14">
      <c r="A19" t="s">
        <v>181</v>
      </c>
      <c r="B19" t="s">
        <v>59</v>
      </c>
      <c r="C19" s="4" t="s">
        <v>31</v>
      </c>
      <c r="D19" s="4" t="s">
        <v>53</v>
      </c>
      <c r="E19" s="4" t="s">
        <v>18</v>
      </c>
      <c r="F19" s="4" t="s">
        <v>19</v>
      </c>
      <c r="G19" t="s">
        <v>60</v>
      </c>
      <c r="H19" s="5">
        <v>45848</v>
      </c>
      <c r="I19" s="6">
        <v>0.33333333333333331</v>
      </c>
      <c r="J19" s="5">
        <v>45848</v>
      </c>
      <c r="K19" s="6">
        <v>0.36458333333333331</v>
      </c>
      <c r="L19" s="1">
        <f t="shared" si="2"/>
        <v>0.75</v>
      </c>
      <c r="M19" s="1" t="str">
        <f t="shared" si="3"/>
        <v>NO</v>
      </c>
      <c r="N19" t="s">
        <v>61</v>
      </c>
    </row>
    <row r="20" spans="1:14">
      <c r="A20" t="s">
        <v>182</v>
      </c>
      <c r="B20" t="s">
        <v>15</v>
      </c>
      <c r="C20" t="s">
        <v>16</v>
      </c>
      <c r="D20" s="4" t="s">
        <v>17</v>
      </c>
      <c r="E20" t="s">
        <v>18</v>
      </c>
      <c r="F20" t="s">
        <v>19</v>
      </c>
      <c r="G20" t="s">
        <v>20</v>
      </c>
      <c r="H20" s="5">
        <v>45849</v>
      </c>
      <c r="I20" s="6">
        <v>0.375</v>
      </c>
      <c r="J20" s="5">
        <v>45849</v>
      </c>
      <c r="K20" s="6">
        <v>0.40763888888888888</v>
      </c>
      <c r="L20" s="8">
        <f>IFERROR((((J20-H20)*24)+(HOUR(K20)-HOUR(I20))+(MINUTE(K20)-MINUTE(I20))/60),"")</f>
        <v>0.78333333333333333</v>
      </c>
      <c r="M20" s="1" t="str">
        <f>IF(D20="P1",IF(L20&gt;4,"YES","NO"),IF(D20="P2",IF(L20&gt;8,"YES","NO"),IF(D20="P3",IF(L20&gt;24,"YES","NO"),IF(D20="P4",IF(L20&gt;48,"YES","NO"),""))))</f>
        <v>NO</v>
      </c>
      <c r="N20" t="s">
        <v>21</v>
      </c>
    </row>
    <row r="21" spans="1:14">
      <c r="A21" t="s">
        <v>183</v>
      </c>
      <c r="B21" t="s">
        <v>23</v>
      </c>
      <c r="C21" s="4" t="s">
        <v>24</v>
      </c>
      <c r="D21" s="4" t="s">
        <v>17</v>
      </c>
      <c r="E21" t="s">
        <v>18</v>
      </c>
      <c r="F21" s="4" t="s">
        <v>26</v>
      </c>
      <c r="G21" s="4" t="s">
        <v>27</v>
      </c>
      <c r="H21" s="5">
        <v>45850</v>
      </c>
      <c r="I21" s="6">
        <v>0.58333333333333337</v>
      </c>
      <c r="J21" s="5">
        <v>45850</v>
      </c>
      <c r="K21" s="6">
        <v>0.6333333333333333</v>
      </c>
      <c r="L21" s="1">
        <f t="shared" ref="L21:L28" si="4">IFERROR((((J21-H21)*24)+(HOUR(K21)-HOUR(I21))+(MINUTE(K21)-MINUTE(I21))/60),"")</f>
        <v>1.2</v>
      </c>
      <c r="M21" s="1" t="str">
        <f t="shared" ref="M21:M28" si="5">IF(D21="P1",IF(L21&gt;4,"YES","NO"),IF(D21="P2",IF(L21&gt;8,"YES","NO"),IF(D21="P3",IF(L21&gt;24,"YES","NO"),IF(D21="P4",IF(L21&gt;48,"YES","NO"),""))))</f>
        <v>NO</v>
      </c>
      <c r="N21" t="s">
        <v>28</v>
      </c>
    </row>
    <row r="22" spans="1:14">
      <c r="A22" t="s">
        <v>184</v>
      </c>
      <c r="B22" t="s">
        <v>39</v>
      </c>
      <c r="C22" t="s">
        <v>38</v>
      </c>
      <c r="D22" s="4" t="s">
        <v>25</v>
      </c>
      <c r="E22" t="s">
        <v>18</v>
      </c>
      <c r="F22" s="4" t="s">
        <v>40</v>
      </c>
      <c r="G22" t="s">
        <v>41</v>
      </c>
      <c r="H22" s="5">
        <v>45851</v>
      </c>
      <c r="I22" s="6">
        <v>0.47916666666666669</v>
      </c>
      <c r="J22" s="5">
        <v>45851</v>
      </c>
      <c r="K22" s="6">
        <v>0.54166666666666663</v>
      </c>
      <c r="L22" s="1">
        <f t="shared" si="4"/>
        <v>1.5</v>
      </c>
      <c r="M22" s="1" t="str">
        <f t="shared" si="5"/>
        <v>NO</v>
      </c>
      <c r="N22" t="s">
        <v>42</v>
      </c>
    </row>
    <row r="23" spans="1:14">
      <c r="A23" t="s">
        <v>185</v>
      </c>
      <c r="B23" t="s">
        <v>29</v>
      </c>
      <c r="C23" t="s">
        <v>31</v>
      </c>
      <c r="D23" s="4" t="s">
        <v>17</v>
      </c>
      <c r="E23" t="s">
        <v>18</v>
      </c>
      <c r="F23" s="4" t="s">
        <v>32</v>
      </c>
      <c r="G23" t="s">
        <v>33</v>
      </c>
      <c r="H23" s="5">
        <v>45852</v>
      </c>
      <c r="I23" s="6">
        <v>0.34375</v>
      </c>
      <c r="J23" s="5">
        <v>45852</v>
      </c>
      <c r="K23" s="6">
        <v>0.375</v>
      </c>
      <c r="L23" s="1">
        <f t="shared" si="4"/>
        <v>0.75</v>
      </c>
      <c r="M23" s="1" t="str">
        <f t="shared" si="5"/>
        <v>NO</v>
      </c>
      <c r="N23" t="s">
        <v>34</v>
      </c>
    </row>
    <row r="24" spans="1:14">
      <c r="A24" t="s">
        <v>186</v>
      </c>
      <c r="B24" t="s">
        <v>37</v>
      </c>
      <c r="C24" s="4" t="s">
        <v>38</v>
      </c>
      <c r="D24" s="4" t="s">
        <v>25</v>
      </c>
      <c r="E24" t="s">
        <v>18</v>
      </c>
      <c r="F24" s="4" t="s">
        <v>19</v>
      </c>
      <c r="G24" s="4" t="s">
        <v>43</v>
      </c>
      <c r="H24" s="5">
        <v>45853</v>
      </c>
      <c r="I24" s="6">
        <v>0.41666666666666669</v>
      </c>
      <c r="J24" s="5">
        <v>45853</v>
      </c>
      <c r="K24" s="6">
        <v>0.47916666666666669</v>
      </c>
      <c r="L24" s="1">
        <f t="shared" si="4"/>
        <v>1.5</v>
      </c>
      <c r="M24" s="1" t="str">
        <f t="shared" si="5"/>
        <v>NO</v>
      </c>
      <c r="N24" t="s">
        <v>44</v>
      </c>
    </row>
    <row r="25" spans="1:14">
      <c r="A25" t="s">
        <v>187</v>
      </c>
      <c r="B25" t="s">
        <v>45</v>
      </c>
      <c r="C25" s="4" t="s">
        <v>16</v>
      </c>
      <c r="D25" s="4" t="s">
        <v>25</v>
      </c>
      <c r="E25" s="4" t="s">
        <v>18</v>
      </c>
      <c r="F25" s="4" t="s">
        <v>26</v>
      </c>
      <c r="G25" t="s">
        <v>50</v>
      </c>
      <c r="H25" s="5">
        <v>45854</v>
      </c>
      <c r="I25" s="6">
        <v>0.54166666666666663</v>
      </c>
      <c r="J25" s="5">
        <v>45854</v>
      </c>
      <c r="K25" s="6">
        <v>0.59375</v>
      </c>
      <c r="L25" s="1">
        <f t="shared" si="4"/>
        <v>1.25</v>
      </c>
      <c r="M25" s="1" t="str">
        <f t="shared" si="5"/>
        <v>NO</v>
      </c>
      <c r="N25" t="s">
        <v>51</v>
      </c>
    </row>
    <row r="26" spans="1:14">
      <c r="A26" t="s">
        <v>188</v>
      </c>
      <c r="B26" t="s">
        <v>52</v>
      </c>
      <c r="C26" s="4" t="s">
        <v>16</v>
      </c>
      <c r="D26" s="4" t="s">
        <v>53</v>
      </c>
      <c r="E26" s="4" t="s">
        <v>18</v>
      </c>
      <c r="F26" s="4" t="s">
        <v>40</v>
      </c>
      <c r="G26" t="s">
        <v>54</v>
      </c>
      <c r="H26" s="5">
        <v>45855</v>
      </c>
      <c r="I26" s="6">
        <v>0.39583333333333331</v>
      </c>
      <c r="J26" s="5">
        <v>45855</v>
      </c>
      <c r="K26" s="6">
        <v>0.41666666666666669</v>
      </c>
      <c r="L26" s="1">
        <f t="shared" si="4"/>
        <v>0.5</v>
      </c>
      <c r="M26" s="1" t="str">
        <f t="shared" si="5"/>
        <v>NO</v>
      </c>
      <c r="N26" t="s">
        <v>55</v>
      </c>
    </row>
    <row r="27" spans="1:14">
      <c r="A27" t="s">
        <v>189</v>
      </c>
      <c r="B27" t="s">
        <v>56</v>
      </c>
      <c r="C27" s="4" t="s">
        <v>38</v>
      </c>
      <c r="D27" s="4" t="s">
        <v>25</v>
      </c>
      <c r="E27" s="4" t="s">
        <v>18</v>
      </c>
      <c r="F27" s="4" t="s">
        <v>32</v>
      </c>
      <c r="G27" t="s">
        <v>57</v>
      </c>
      <c r="H27" s="5">
        <v>45856</v>
      </c>
      <c r="I27" s="6">
        <v>0.66666666666666663</v>
      </c>
      <c r="J27" s="5">
        <v>45856</v>
      </c>
      <c r="K27" s="6">
        <v>0.72222222222222221</v>
      </c>
      <c r="L27" s="8">
        <f t="shared" si="4"/>
        <v>1.3333333333333333</v>
      </c>
      <c r="M27" s="1" t="str">
        <f t="shared" si="5"/>
        <v>NO</v>
      </c>
      <c r="N27" t="s">
        <v>58</v>
      </c>
    </row>
    <row r="28" spans="1:14">
      <c r="A28" t="s">
        <v>190</v>
      </c>
      <c r="B28" t="s">
        <v>59</v>
      </c>
      <c r="C28" s="4" t="s">
        <v>31</v>
      </c>
      <c r="D28" s="4" t="s">
        <v>53</v>
      </c>
      <c r="E28" s="4" t="s">
        <v>18</v>
      </c>
      <c r="F28" s="4" t="s">
        <v>19</v>
      </c>
      <c r="G28" t="s">
        <v>60</v>
      </c>
      <c r="H28" s="5">
        <v>45857</v>
      </c>
      <c r="I28" s="6">
        <v>0.33333333333333331</v>
      </c>
      <c r="J28" s="5">
        <v>45857</v>
      </c>
      <c r="K28" s="6">
        <v>0.36458333333333331</v>
      </c>
      <c r="L28" s="1">
        <f t="shared" si="4"/>
        <v>0.75</v>
      </c>
      <c r="M28" s="1" t="str">
        <f t="shared" si="5"/>
        <v>NO</v>
      </c>
      <c r="N28" t="s">
        <v>61</v>
      </c>
    </row>
    <row r="29" spans="1:14">
      <c r="A29" t="s">
        <v>191</v>
      </c>
      <c r="B29" t="s">
        <v>15</v>
      </c>
      <c r="C29" t="s">
        <v>16</v>
      </c>
      <c r="D29" s="4" t="s">
        <v>17</v>
      </c>
      <c r="E29" t="s">
        <v>18</v>
      </c>
      <c r="F29" t="s">
        <v>19</v>
      </c>
      <c r="G29" t="s">
        <v>20</v>
      </c>
      <c r="H29" s="5">
        <v>45858</v>
      </c>
      <c r="I29" s="6">
        <v>0.375</v>
      </c>
      <c r="J29" s="5">
        <v>45858</v>
      </c>
      <c r="K29" s="6">
        <v>0.40763888888888888</v>
      </c>
      <c r="L29" s="8">
        <f>IFERROR((((J29-H29)*24)+(HOUR(K29)-HOUR(I29))+(MINUTE(K29)-MINUTE(I29))/60),"")</f>
        <v>0.78333333333333333</v>
      </c>
      <c r="M29" s="1" t="str">
        <f>IF(D29="P1",IF(L29&gt;4,"YES","NO"),IF(D29="P2",IF(L29&gt;8,"YES","NO"),IF(D29="P3",IF(L29&gt;24,"YES","NO"),IF(D29="P4",IF(L29&gt;48,"YES","NO"),""))))</f>
        <v>NO</v>
      </c>
      <c r="N29" t="s">
        <v>21</v>
      </c>
    </row>
    <row r="30" spans="1:14">
      <c r="A30" t="s">
        <v>192</v>
      </c>
      <c r="B30" t="s">
        <v>23</v>
      </c>
      <c r="C30" s="4" t="s">
        <v>24</v>
      </c>
      <c r="D30" s="4" t="s">
        <v>17</v>
      </c>
      <c r="E30" t="s">
        <v>18</v>
      </c>
      <c r="F30" s="4" t="s">
        <v>26</v>
      </c>
      <c r="G30" s="4" t="s">
        <v>27</v>
      </c>
      <c r="H30" s="5">
        <v>45859</v>
      </c>
      <c r="I30" s="6">
        <v>0.58333333333333337</v>
      </c>
      <c r="J30" s="5">
        <v>45859</v>
      </c>
      <c r="K30" s="6">
        <v>0.6333333333333333</v>
      </c>
      <c r="L30" s="1">
        <f t="shared" ref="L30:L37" si="6">IFERROR((((J30-H30)*24)+(HOUR(K30)-HOUR(I30))+(MINUTE(K30)-MINUTE(I30))/60),"")</f>
        <v>1.2</v>
      </c>
      <c r="M30" s="1" t="str">
        <f t="shared" ref="M30:M37" si="7">IF(D30="P1",IF(L30&gt;4,"YES","NO"),IF(D30="P2",IF(L30&gt;8,"YES","NO"),IF(D30="P3",IF(L30&gt;24,"YES","NO"),IF(D30="P4",IF(L30&gt;48,"YES","NO"),""))))</f>
        <v>NO</v>
      </c>
      <c r="N30" t="s">
        <v>28</v>
      </c>
    </row>
    <row r="31" spans="1:14">
      <c r="A31" t="s">
        <v>193</v>
      </c>
      <c r="B31" t="s">
        <v>39</v>
      </c>
      <c r="C31" t="s">
        <v>38</v>
      </c>
      <c r="D31" s="4" t="s">
        <v>25</v>
      </c>
      <c r="E31" t="s">
        <v>18</v>
      </c>
      <c r="F31" s="4" t="s">
        <v>40</v>
      </c>
      <c r="G31" t="s">
        <v>41</v>
      </c>
      <c r="H31" s="5">
        <v>45860</v>
      </c>
      <c r="I31" s="6">
        <v>0.47916666666666669</v>
      </c>
      <c r="J31" s="5">
        <v>45860</v>
      </c>
      <c r="K31" s="6">
        <v>0.54166666666666663</v>
      </c>
      <c r="L31" s="1">
        <f t="shared" si="6"/>
        <v>1.5</v>
      </c>
      <c r="M31" s="1" t="str">
        <f t="shared" si="7"/>
        <v>NO</v>
      </c>
      <c r="N31" t="s">
        <v>42</v>
      </c>
    </row>
    <row r="32" spans="1:14">
      <c r="A32" t="s">
        <v>194</v>
      </c>
      <c r="B32" t="s">
        <v>29</v>
      </c>
      <c r="C32" t="s">
        <v>31</v>
      </c>
      <c r="D32" s="4" t="s">
        <v>17</v>
      </c>
      <c r="E32" t="s">
        <v>18</v>
      </c>
      <c r="F32" s="4" t="s">
        <v>32</v>
      </c>
      <c r="G32" t="s">
        <v>33</v>
      </c>
      <c r="H32" s="5">
        <v>45861</v>
      </c>
      <c r="I32" s="6">
        <v>0.34375</v>
      </c>
      <c r="J32" s="5">
        <v>45861</v>
      </c>
      <c r="K32" s="6">
        <v>0.375</v>
      </c>
      <c r="L32" s="1">
        <f t="shared" si="6"/>
        <v>0.75</v>
      </c>
      <c r="M32" s="1" t="str">
        <f t="shared" si="7"/>
        <v>NO</v>
      </c>
      <c r="N32" t="s">
        <v>34</v>
      </c>
    </row>
    <row r="33" spans="1:14">
      <c r="A33" t="s">
        <v>195</v>
      </c>
      <c r="B33" t="s">
        <v>37</v>
      </c>
      <c r="C33" s="4" t="s">
        <v>38</v>
      </c>
      <c r="D33" s="4" t="s">
        <v>25</v>
      </c>
      <c r="E33" t="s">
        <v>18</v>
      </c>
      <c r="F33" s="4" t="s">
        <v>19</v>
      </c>
      <c r="G33" s="4" t="s">
        <v>43</v>
      </c>
      <c r="H33" s="5">
        <v>45862</v>
      </c>
      <c r="I33" s="6">
        <v>0.41666666666666669</v>
      </c>
      <c r="J33" s="5">
        <v>45862</v>
      </c>
      <c r="K33" s="6">
        <v>0.47916666666666669</v>
      </c>
      <c r="L33" s="1">
        <f t="shared" si="6"/>
        <v>1.5</v>
      </c>
      <c r="M33" s="1" t="str">
        <f t="shared" si="7"/>
        <v>NO</v>
      </c>
      <c r="N33" t="s">
        <v>44</v>
      </c>
    </row>
    <row r="34" spans="1:14">
      <c r="A34" t="s">
        <v>196</v>
      </c>
      <c r="B34" t="s">
        <v>45</v>
      </c>
      <c r="C34" s="4" t="s">
        <v>16</v>
      </c>
      <c r="D34" s="4" t="s">
        <v>25</v>
      </c>
      <c r="E34" s="4" t="s">
        <v>18</v>
      </c>
      <c r="F34" s="4" t="s">
        <v>26</v>
      </c>
      <c r="G34" t="s">
        <v>50</v>
      </c>
      <c r="H34" s="5">
        <v>45863</v>
      </c>
      <c r="I34" s="6">
        <v>0.54166666666666663</v>
      </c>
      <c r="J34" s="5">
        <v>45863</v>
      </c>
      <c r="K34" s="6">
        <v>0.59375</v>
      </c>
      <c r="L34" s="1">
        <f t="shared" si="6"/>
        <v>1.25</v>
      </c>
      <c r="M34" s="1" t="str">
        <f t="shared" si="7"/>
        <v>NO</v>
      </c>
      <c r="N34" t="s">
        <v>51</v>
      </c>
    </row>
    <row r="35" spans="1:14">
      <c r="A35" t="s">
        <v>197</v>
      </c>
      <c r="B35" t="s">
        <v>52</v>
      </c>
      <c r="C35" s="4" t="s">
        <v>16</v>
      </c>
      <c r="D35" s="4" t="s">
        <v>53</v>
      </c>
      <c r="E35" s="4" t="s">
        <v>18</v>
      </c>
      <c r="F35" s="4" t="s">
        <v>40</v>
      </c>
      <c r="G35" t="s">
        <v>54</v>
      </c>
      <c r="H35" s="5">
        <v>45864</v>
      </c>
      <c r="I35" s="6">
        <v>0.39583333333333331</v>
      </c>
      <c r="J35" s="5">
        <v>45864</v>
      </c>
      <c r="K35" s="6">
        <v>0.41666666666666669</v>
      </c>
      <c r="L35" s="1">
        <f t="shared" si="6"/>
        <v>0.5</v>
      </c>
      <c r="M35" s="1" t="str">
        <f t="shared" si="7"/>
        <v>NO</v>
      </c>
      <c r="N35" t="s">
        <v>55</v>
      </c>
    </row>
    <row r="36" spans="1:14">
      <c r="A36" t="s">
        <v>198</v>
      </c>
      <c r="B36" t="s">
        <v>56</v>
      </c>
      <c r="C36" s="4" t="s">
        <v>38</v>
      </c>
      <c r="D36" s="4" t="s">
        <v>25</v>
      </c>
      <c r="E36" s="4" t="s">
        <v>18</v>
      </c>
      <c r="F36" s="4" t="s">
        <v>32</v>
      </c>
      <c r="G36" t="s">
        <v>57</v>
      </c>
      <c r="H36" s="5">
        <v>45865</v>
      </c>
      <c r="I36" s="6">
        <v>0.66666666666666663</v>
      </c>
      <c r="J36" s="5">
        <v>45865</v>
      </c>
      <c r="K36" s="6">
        <v>0.72222222222222221</v>
      </c>
      <c r="L36" s="8">
        <f t="shared" si="6"/>
        <v>1.3333333333333333</v>
      </c>
      <c r="M36" s="1" t="str">
        <f t="shared" si="7"/>
        <v>NO</v>
      </c>
      <c r="N36" t="s">
        <v>58</v>
      </c>
    </row>
    <row r="37" spans="1:14">
      <c r="A37" t="s">
        <v>199</v>
      </c>
      <c r="B37" t="s">
        <v>59</v>
      </c>
      <c r="C37" s="4" t="s">
        <v>31</v>
      </c>
      <c r="D37" s="4" t="s">
        <v>53</v>
      </c>
      <c r="E37" s="4" t="s">
        <v>18</v>
      </c>
      <c r="F37" s="4" t="s">
        <v>19</v>
      </c>
      <c r="G37" t="s">
        <v>60</v>
      </c>
      <c r="H37" s="5">
        <v>45866</v>
      </c>
      <c r="I37" s="6">
        <v>0.33333333333333331</v>
      </c>
      <c r="J37" s="5">
        <v>45866</v>
      </c>
      <c r="K37" s="6">
        <v>0.36458333333333331</v>
      </c>
      <c r="L37" s="1">
        <f t="shared" si="6"/>
        <v>0.75</v>
      </c>
      <c r="M37" s="1" t="str">
        <f t="shared" si="7"/>
        <v>NO</v>
      </c>
      <c r="N37" t="s">
        <v>61</v>
      </c>
    </row>
    <row r="38" spans="1:14">
      <c r="A38" t="s">
        <v>200</v>
      </c>
      <c r="B38" t="s">
        <v>15</v>
      </c>
      <c r="C38" t="s">
        <v>16</v>
      </c>
      <c r="D38" s="4" t="s">
        <v>17</v>
      </c>
      <c r="E38" t="s">
        <v>18</v>
      </c>
      <c r="F38" t="s">
        <v>19</v>
      </c>
      <c r="G38" t="s">
        <v>20</v>
      </c>
      <c r="H38" s="5">
        <v>45867</v>
      </c>
      <c r="I38" s="6">
        <v>0.375</v>
      </c>
      <c r="J38" s="5">
        <v>45867</v>
      </c>
      <c r="K38" s="6">
        <v>0.40763888888888888</v>
      </c>
      <c r="L38" s="8">
        <f>IFERROR((((J38-H38)*24)+(HOUR(K38)-HOUR(I38))+(MINUTE(K38)-MINUTE(I38))/60),"")</f>
        <v>0.78333333333333333</v>
      </c>
      <c r="M38" s="1" t="str">
        <f>IF(D38="P1",IF(L38&gt;4,"YES","NO"),IF(D38="P2",IF(L38&gt;8,"YES","NO"),IF(D38="P3",IF(L38&gt;24,"YES","NO"),IF(D38="P4",IF(L38&gt;48,"YES","NO"),""))))</f>
        <v>NO</v>
      </c>
      <c r="N38" t="s">
        <v>21</v>
      </c>
    </row>
    <row r="39" spans="1:14">
      <c r="A39" t="s">
        <v>201</v>
      </c>
      <c r="B39" t="s">
        <v>23</v>
      </c>
      <c r="C39" s="4" t="s">
        <v>24</v>
      </c>
      <c r="D39" s="4" t="s">
        <v>17</v>
      </c>
      <c r="E39" t="s">
        <v>18</v>
      </c>
      <c r="F39" s="4" t="s">
        <v>26</v>
      </c>
      <c r="G39" s="4" t="s">
        <v>27</v>
      </c>
      <c r="H39" s="5">
        <v>45868</v>
      </c>
      <c r="I39" s="6">
        <v>0.58333333333333337</v>
      </c>
      <c r="J39" s="5">
        <v>45868</v>
      </c>
      <c r="K39" s="6">
        <v>0.6333333333333333</v>
      </c>
      <c r="L39" s="1">
        <f t="shared" ref="L39:L46" si="8">IFERROR((((J39-H39)*24)+(HOUR(K39)-HOUR(I39))+(MINUTE(K39)-MINUTE(I39))/60),"")</f>
        <v>1.2</v>
      </c>
      <c r="M39" s="1" t="str">
        <f t="shared" ref="M39:M46" si="9">IF(D39="P1",IF(L39&gt;4,"YES","NO"),IF(D39="P2",IF(L39&gt;8,"YES","NO"),IF(D39="P3",IF(L39&gt;24,"YES","NO"),IF(D39="P4",IF(L39&gt;48,"YES","NO"),""))))</f>
        <v>NO</v>
      </c>
      <c r="N39" t="s">
        <v>28</v>
      </c>
    </row>
    <row r="40" spans="1:14">
      <c r="A40" t="s">
        <v>202</v>
      </c>
      <c r="B40" t="s">
        <v>39</v>
      </c>
      <c r="C40" t="s">
        <v>38</v>
      </c>
      <c r="D40" s="4" t="s">
        <v>25</v>
      </c>
      <c r="E40" t="s">
        <v>18</v>
      </c>
      <c r="F40" s="4" t="s">
        <v>40</v>
      </c>
      <c r="G40" t="s">
        <v>41</v>
      </c>
      <c r="H40" s="5">
        <v>45869</v>
      </c>
      <c r="I40" s="6">
        <v>0.47916666666666669</v>
      </c>
      <c r="J40" s="5">
        <v>45869</v>
      </c>
      <c r="K40" s="6">
        <v>0.54166666666666663</v>
      </c>
      <c r="L40" s="1">
        <f t="shared" si="8"/>
        <v>1.5</v>
      </c>
      <c r="M40" s="1" t="str">
        <f t="shared" si="9"/>
        <v>NO</v>
      </c>
      <c r="N40" t="s">
        <v>42</v>
      </c>
    </row>
    <row r="41" spans="1:14">
      <c r="A41" t="s">
        <v>203</v>
      </c>
      <c r="B41" t="s">
        <v>29</v>
      </c>
      <c r="C41" t="s">
        <v>31</v>
      </c>
      <c r="D41" s="4" t="s">
        <v>17</v>
      </c>
      <c r="E41" t="s">
        <v>18</v>
      </c>
      <c r="F41" s="4" t="s">
        <v>32</v>
      </c>
      <c r="G41" t="s">
        <v>33</v>
      </c>
      <c r="H41" s="5">
        <v>45870</v>
      </c>
      <c r="I41" s="6">
        <v>0.34375</v>
      </c>
      <c r="J41" s="5">
        <v>45870</v>
      </c>
      <c r="K41" s="6">
        <v>0.375</v>
      </c>
      <c r="L41" s="1">
        <f t="shared" si="8"/>
        <v>0.75</v>
      </c>
      <c r="M41" s="1" t="str">
        <f t="shared" si="9"/>
        <v>NO</v>
      </c>
      <c r="N41" t="s">
        <v>34</v>
      </c>
    </row>
    <row r="42" spans="1:14">
      <c r="A42" t="s">
        <v>204</v>
      </c>
      <c r="B42" t="s">
        <v>37</v>
      </c>
      <c r="C42" s="4" t="s">
        <v>38</v>
      </c>
      <c r="D42" s="4" t="s">
        <v>25</v>
      </c>
      <c r="E42" t="s">
        <v>18</v>
      </c>
      <c r="F42" s="4" t="s">
        <v>19</v>
      </c>
      <c r="G42" s="4" t="s">
        <v>43</v>
      </c>
      <c r="H42" s="5">
        <v>45871</v>
      </c>
      <c r="I42" s="6">
        <v>0.41666666666666669</v>
      </c>
      <c r="J42" s="5">
        <v>45871</v>
      </c>
      <c r="K42" s="6">
        <v>0.47916666666666669</v>
      </c>
      <c r="L42" s="1">
        <f t="shared" si="8"/>
        <v>1.5</v>
      </c>
      <c r="M42" s="1" t="str">
        <f t="shared" si="9"/>
        <v>NO</v>
      </c>
      <c r="N42" t="s">
        <v>44</v>
      </c>
    </row>
    <row r="43" spans="1:14">
      <c r="A43" t="s">
        <v>205</v>
      </c>
      <c r="B43" t="s">
        <v>45</v>
      </c>
      <c r="C43" s="4" t="s">
        <v>16</v>
      </c>
      <c r="D43" s="4" t="s">
        <v>25</v>
      </c>
      <c r="E43" s="4" t="s">
        <v>18</v>
      </c>
      <c r="F43" s="4" t="s">
        <v>26</v>
      </c>
      <c r="G43" t="s">
        <v>50</v>
      </c>
      <c r="H43" s="5">
        <v>45872</v>
      </c>
      <c r="I43" s="6">
        <v>0.54166666666666663</v>
      </c>
      <c r="J43" s="5">
        <v>45872</v>
      </c>
      <c r="K43" s="6">
        <v>0.59375</v>
      </c>
      <c r="L43" s="1">
        <f t="shared" si="8"/>
        <v>1.25</v>
      </c>
      <c r="M43" s="1" t="str">
        <f t="shared" si="9"/>
        <v>NO</v>
      </c>
      <c r="N43" t="s">
        <v>51</v>
      </c>
    </row>
    <row r="44" spans="1:14">
      <c r="A44" t="s">
        <v>206</v>
      </c>
      <c r="B44" t="s">
        <v>52</v>
      </c>
      <c r="C44" s="4" t="s">
        <v>16</v>
      </c>
      <c r="D44" s="4" t="s">
        <v>53</v>
      </c>
      <c r="E44" s="4" t="s">
        <v>18</v>
      </c>
      <c r="F44" s="4" t="s">
        <v>40</v>
      </c>
      <c r="G44" t="s">
        <v>54</v>
      </c>
      <c r="H44" s="5">
        <v>45873</v>
      </c>
      <c r="I44" s="6">
        <v>0.39583333333333331</v>
      </c>
      <c r="J44" s="5">
        <v>45873</v>
      </c>
      <c r="K44" s="6">
        <v>0.41666666666666669</v>
      </c>
      <c r="L44" s="1">
        <f t="shared" si="8"/>
        <v>0.5</v>
      </c>
      <c r="M44" s="1" t="str">
        <f t="shared" si="9"/>
        <v>NO</v>
      </c>
      <c r="N44" t="s">
        <v>55</v>
      </c>
    </row>
    <row r="45" spans="1:14">
      <c r="A45" t="s">
        <v>207</v>
      </c>
      <c r="B45" t="s">
        <v>56</v>
      </c>
      <c r="C45" s="4" t="s">
        <v>38</v>
      </c>
      <c r="D45" s="4" t="s">
        <v>25</v>
      </c>
      <c r="E45" s="4" t="s">
        <v>18</v>
      </c>
      <c r="F45" s="4" t="s">
        <v>32</v>
      </c>
      <c r="G45" t="s">
        <v>57</v>
      </c>
      <c r="H45" s="5">
        <v>45874</v>
      </c>
      <c r="I45" s="6">
        <v>0.66666666666666663</v>
      </c>
      <c r="J45" s="5">
        <v>45874</v>
      </c>
      <c r="K45" s="6">
        <v>0.72222222222222221</v>
      </c>
      <c r="L45" s="8">
        <f t="shared" si="8"/>
        <v>1.3333333333333333</v>
      </c>
      <c r="M45" s="1" t="str">
        <f t="shared" si="9"/>
        <v>NO</v>
      </c>
      <c r="N45" t="s">
        <v>58</v>
      </c>
    </row>
    <row r="46" spans="1:14">
      <c r="A46" t="s">
        <v>208</v>
      </c>
      <c r="B46" t="s">
        <v>59</v>
      </c>
      <c r="C46" s="4" t="s">
        <v>31</v>
      </c>
      <c r="D46" s="4" t="s">
        <v>53</v>
      </c>
      <c r="E46" s="4" t="s">
        <v>18</v>
      </c>
      <c r="F46" s="4" t="s">
        <v>19</v>
      </c>
      <c r="G46" t="s">
        <v>60</v>
      </c>
      <c r="H46" s="5">
        <v>45875</v>
      </c>
      <c r="I46" s="6">
        <v>0.33333333333333331</v>
      </c>
      <c r="J46" s="5">
        <v>45875</v>
      </c>
      <c r="K46" s="6">
        <v>0.36458333333333331</v>
      </c>
      <c r="L46" s="1">
        <f t="shared" si="8"/>
        <v>0.75</v>
      </c>
      <c r="M46" s="1" t="str">
        <f t="shared" si="9"/>
        <v>NO</v>
      </c>
      <c r="N46" t="s">
        <v>61</v>
      </c>
    </row>
  </sheetData>
  <phoneticPr fontId="4" type="noConversion"/>
  <conditionalFormatting sqref="M2:M46">
    <cfRule type="cellIs" dxfId="4" priority="4" operator="equal">
      <formula>"NO"</formula>
    </cfRule>
    <cfRule type="cellIs" dxfId="3" priority="5" operator="equal">
      <formula>"Yes"</formula>
    </cfRule>
  </conditionalFormatting>
  <conditionalFormatting sqref="D2:D46">
    <cfRule type="cellIs" dxfId="2" priority="1" operator="equal">
      <formula>"P3"</formula>
    </cfRule>
    <cfRule type="cellIs" dxfId="1" priority="2" operator="equal">
      <formula>"P2"</formula>
    </cfRule>
    <cfRule type="cellIs" dxfId="0" priority="3" operator="equal">
      <formula>"P1"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B47F-9C17-464D-B8BC-F061958C1E2A}">
  <dimension ref="A1:J6"/>
  <sheetViews>
    <sheetView workbookViewId="0">
      <selection activeCell="J6" sqref="J6"/>
    </sheetView>
  </sheetViews>
  <sheetFormatPr defaultRowHeight="14.4"/>
  <cols>
    <col min="1" max="1" width="12.5546875" customWidth="1"/>
    <col min="2" max="2" width="16.88671875" customWidth="1"/>
    <col min="3" max="3" width="31.77734375" customWidth="1"/>
    <col min="4" max="4" width="12.109375" customWidth="1"/>
    <col min="5" max="5" width="12.33203125" customWidth="1"/>
    <col min="6" max="6" width="47.21875" customWidth="1"/>
    <col min="7" max="7" width="60.5546875" customWidth="1"/>
    <col min="8" max="8" width="14.88671875" customWidth="1"/>
    <col min="9" max="9" width="11.44140625" customWidth="1"/>
    <col min="10" max="10" width="12.88671875" customWidth="1"/>
  </cols>
  <sheetData>
    <row r="1" spans="1:10" s="2" customFormat="1">
      <c r="A1" s="2" t="s">
        <v>62</v>
      </c>
      <c r="B1" s="2" t="s">
        <v>63</v>
      </c>
      <c r="C1" s="2" t="s">
        <v>64</v>
      </c>
      <c r="D1" s="2" t="s">
        <v>65</v>
      </c>
      <c r="E1" s="2" t="s">
        <v>4</v>
      </c>
      <c r="F1" s="2" t="s">
        <v>66</v>
      </c>
      <c r="G1" s="2" t="s">
        <v>67</v>
      </c>
      <c r="H1" s="2" t="s">
        <v>5</v>
      </c>
      <c r="I1" s="2" t="s">
        <v>68</v>
      </c>
      <c r="J1" s="2" t="s">
        <v>74</v>
      </c>
    </row>
    <row r="2" spans="1:10">
      <c r="A2" t="s">
        <v>69</v>
      </c>
      <c r="B2" t="s">
        <v>70</v>
      </c>
      <c r="C2" t="s">
        <v>71</v>
      </c>
      <c r="D2" t="s">
        <v>16</v>
      </c>
      <c r="E2" t="s">
        <v>18</v>
      </c>
      <c r="F2" t="s">
        <v>72</v>
      </c>
      <c r="G2" t="s">
        <v>73</v>
      </c>
      <c r="H2" t="s">
        <v>19</v>
      </c>
      <c r="I2" s="5">
        <v>45811</v>
      </c>
      <c r="J2" s="5">
        <v>45828</v>
      </c>
    </row>
    <row r="3" spans="1:10">
      <c r="A3" t="s">
        <v>75</v>
      </c>
      <c r="B3" t="s">
        <v>22</v>
      </c>
      <c r="C3" t="s">
        <v>79</v>
      </c>
      <c r="D3" t="s">
        <v>24</v>
      </c>
      <c r="E3" t="s">
        <v>18</v>
      </c>
      <c r="F3" t="s">
        <v>80</v>
      </c>
      <c r="G3" t="s">
        <v>81</v>
      </c>
      <c r="H3" t="s">
        <v>26</v>
      </c>
      <c r="I3" s="5">
        <v>45815</v>
      </c>
      <c r="J3" s="5">
        <v>45833</v>
      </c>
    </row>
    <row r="4" spans="1:10">
      <c r="A4" t="s">
        <v>76</v>
      </c>
      <c r="B4" t="s">
        <v>82</v>
      </c>
      <c r="C4" t="s">
        <v>83</v>
      </c>
      <c r="D4" t="s">
        <v>38</v>
      </c>
      <c r="E4" t="s">
        <v>84</v>
      </c>
      <c r="F4" t="s">
        <v>85</v>
      </c>
      <c r="G4" t="s">
        <v>86</v>
      </c>
      <c r="H4" t="s">
        <v>40</v>
      </c>
      <c r="I4" s="5">
        <v>45820</v>
      </c>
      <c r="J4" t="s">
        <v>87</v>
      </c>
    </row>
    <row r="5" spans="1:10">
      <c r="A5" t="s">
        <v>77</v>
      </c>
      <c r="B5" t="s">
        <v>46</v>
      </c>
      <c r="C5" t="s">
        <v>88</v>
      </c>
      <c r="D5" t="s">
        <v>16</v>
      </c>
      <c r="E5" t="s">
        <v>18</v>
      </c>
      <c r="F5" t="s">
        <v>89</v>
      </c>
      <c r="G5" t="s">
        <v>90</v>
      </c>
      <c r="H5" t="s">
        <v>26</v>
      </c>
      <c r="I5" s="5">
        <v>45828</v>
      </c>
      <c r="J5" s="5">
        <v>45838</v>
      </c>
    </row>
    <row r="6" spans="1:10">
      <c r="A6" t="s">
        <v>78</v>
      </c>
      <c r="B6" t="s">
        <v>91</v>
      </c>
      <c r="C6" t="s">
        <v>92</v>
      </c>
      <c r="D6" t="s">
        <v>31</v>
      </c>
      <c r="E6" t="s">
        <v>18</v>
      </c>
      <c r="F6" t="s">
        <v>93</v>
      </c>
      <c r="G6" t="s">
        <v>94</v>
      </c>
      <c r="H6" t="s">
        <v>32</v>
      </c>
      <c r="I6" s="5">
        <v>45830</v>
      </c>
      <c r="J6" s="5">
        <v>45836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02F7-66FB-4244-B3BC-D2588F6B10D6}">
  <dimension ref="A1:H11"/>
  <sheetViews>
    <sheetView topLeftCell="A2" workbookViewId="0">
      <selection activeCell="B11" sqref="B11"/>
    </sheetView>
  </sheetViews>
  <sheetFormatPr defaultRowHeight="14.4"/>
  <cols>
    <col min="1" max="1" width="12.5546875" customWidth="1"/>
    <col min="2" max="2" width="37.44140625" customWidth="1"/>
    <col min="3" max="3" width="13.44140625" customWidth="1"/>
    <col min="4" max="4" width="43.109375" customWidth="1"/>
    <col min="5" max="5" width="50.6640625" customWidth="1"/>
    <col min="6" max="6" width="18.33203125" customWidth="1"/>
    <col min="7" max="7" width="9.88671875" customWidth="1"/>
    <col min="8" max="8" width="17.88671875" customWidth="1"/>
  </cols>
  <sheetData>
    <row r="1" spans="1:8" s="2" customFormat="1">
      <c r="A1" s="2" t="s">
        <v>95</v>
      </c>
      <c r="B1" s="2" t="s">
        <v>96</v>
      </c>
      <c r="C1" s="2" t="s">
        <v>65</v>
      </c>
      <c r="D1" s="2" t="s">
        <v>97</v>
      </c>
      <c r="E1" s="2" t="s">
        <v>67</v>
      </c>
      <c r="F1" s="2" t="s">
        <v>98</v>
      </c>
      <c r="G1" s="2" t="s">
        <v>4</v>
      </c>
      <c r="H1" s="2" t="s">
        <v>99</v>
      </c>
    </row>
    <row r="2" spans="1:8">
      <c r="A2" s="9" t="s">
        <v>100</v>
      </c>
      <c r="B2" t="s">
        <v>101</v>
      </c>
      <c r="C2" t="s">
        <v>16</v>
      </c>
      <c r="D2" t="s">
        <v>102</v>
      </c>
      <c r="E2" t="s">
        <v>103</v>
      </c>
      <c r="F2" t="s">
        <v>69</v>
      </c>
      <c r="G2" t="s">
        <v>18</v>
      </c>
      <c r="H2" s="5">
        <v>45828</v>
      </c>
    </row>
    <row r="3" spans="1:8">
      <c r="A3" s="9" t="s">
        <v>104</v>
      </c>
      <c r="B3" t="s">
        <v>79</v>
      </c>
      <c r="C3" t="s">
        <v>24</v>
      </c>
      <c r="D3" t="s">
        <v>113</v>
      </c>
      <c r="E3" t="s">
        <v>114</v>
      </c>
      <c r="F3" t="s">
        <v>75</v>
      </c>
      <c r="G3" t="s">
        <v>18</v>
      </c>
      <c r="H3" s="5">
        <v>45833</v>
      </c>
    </row>
    <row r="4" spans="1:8">
      <c r="A4" s="9" t="s">
        <v>105</v>
      </c>
      <c r="B4" t="s">
        <v>115</v>
      </c>
      <c r="C4" t="s">
        <v>38</v>
      </c>
      <c r="D4" t="s">
        <v>116</v>
      </c>
      <c r="E4" t="s">
        <v>117</v>
      </c>
      <c r="F4" t="s">
        <v>76</v>
      </c>
      <c r="G4" t="s">
        <v>84</v>
      </c>
      <c r="H4" s="5">
        <v>45818</v>
      </c>
    </row>
    <row r="5" spans="1:8">
      <c r="A5" s="9" t="s">
        <v>106</v>
      </c>
      <c r="B5" t="s">
        <v>45</v>
      </c>
      <c r="C5" t="s">
        <v>16</v>
      </c>
      <c r="D5" t="s">
        <v>118</v>
      </c>
      <c r="E5" t="s">
        <v>119</v>
      </c>
      <c r="F5" t="s">
        <v>77</v>
      </c>
      <c r="G5" t="s">
        <v>18</v>
      </c>
      <c r="H5" s="5">
        <v>45838</v>
      </c>
    </row>
    <row r="6" spans="1:8">
      <c r="A6" s="9" t="s">
        <v>107</v>
      </c>
      <c r="B6" t="s">
        <v>59</v>
      </c>
      <c r="C6" t="s">
        <v>31</v>
      </c>
      <c r="D6" t="s">
        <v>120</v>
      </c>
      <c r="E6" t="s">
        <v>121</v>
      </c>
      <c r="F6" t="s">
        <v>78</v>
      </c>
      <c r="G6" t="s">
        <v>18</v>
      </c>
      <c r="H6" s="5">
        <v>45836</v>
      </c>
    </row>
    <row r="7" spans="1:8">
      <c r="A7" s="9" t="s">
        <v>108</v>
      </c>
      <c r="B7" t="s">
        <v>122</v>
      </c>
      <c r="C7" t="s">
        <v>31</v>
      </c>
      <c r="D7" t="s">
        <v>123</v>
      </c>
      <c r="E7" t="s">
        <v>124</v>
      </c>
      <c r="F7" t="s">
        <v>125</v>
      </c>
      <c r="G7" t="s">
        <v>18</v>
      </c>
      <c r="H7" s="5">
        <v>45820</v>
      </c>
    </row>
    <row r="8" spans="1:8">
      <c r="A8" s="9" t="s">
        <v>109</v>
      </c>
      <c r="B8" t="s">
        <v>126</v>
      </c>
      <c r="C8" t="s">
        <v>38</v>
      </c>
      <c r="D8" t="s">
        <v>127</v>
      </c>
      <c r="E8" t="s">
        <v>128</v>
      </c>
      <c r="F8" t="s">
        <v>76</v>
      </c>
      <c r="G8" t="s">
        <v>18</v>
      </c>
      <c r="H8" s="5">
        <v>45823</v>
      </c>
    </row>
    <row r="9" spans="1:8">
      <c r="A9" s="9" t="s">
        <v>110</v>
      </c>
      <c r="B9" t="s">
        <v>131</v>
      </c>
      <c r="C9" t="s">
        <v>16</v>
      </c>
      <c r="D9" t="s">
        <v>130</v>
      </c>
      <c r="E9" t="s">
        <v>129</v>
      </c>
      <c r="F9" t="s">
        <v>78</v>
      </c>
      <c r="G9" t="s">
        <v>18</v>
      </c>
      <c r="H9" s="5">
        <v>45828</v>
      </c>
    </row>
    <row r="10" spans="1:8">
      <c r="A10" s="9" t="s">
        <v>111</v>
      </c>
      <c r="B10" t="s">
        <v>132</v>
      </c>
      <c r="C10" t="s">
        <v>38</v>
      </c>
      <c r="D10" t="s">
        <v>133</v>
      </c>
      <c r="E10" t="s">
        <v>134</v>
      </c>
      <c r="F10" t="s">
        <v>76</v>
      </c>
      <c r="G10" t="s">
        <v>18</v>
      </c>
      <c r="H10" s="5">
        <v>45830</v>
      </c>
    </row>
    <row r="11" spans="1:8">
      <c r="A11" s="9" t="s">
        <v>112</v>
      </c>
      <c r="B11" t="s">
        <v>137</v>
      </c>
      <c r="C11" t="s">
        <v>38</v>
      </c>
      <c r="D11" t="s">
        <v>136</v>
      </c>
      <c r="E11" t="s">
        <v>135</v>
      </c>
      <c r="F11" t="s">
        <v>76</v>
      </c>
      <c r="G11" t="s">
        <v>18</v>
      </c>
      <c r="H11" s="5">
        <v>45823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6878-6224-4B35-8C27-69F788EBB730}">
  <dimension ref="A1:J6"/>
  <sheetViews>
    <sheetView topLeftCell="J1" zoomScale="104" zoomScaleNormal="85" workbookViewId="0">
      <selection activeCell="J6" sqref="J6"/>
    </sheetView>
  </sheetViews>
  <sheetFormatPr defaultRowHeight="14.4"/>
  <cols>
    <col min="1" max="1" width="14.33203125" customWidth="1"/>
    <col min="2" max="2" width="39.21875" customWidth="1"/>
    <col min="3" max="3" width="22.109375" customWidth="1"/>
    <col min="4" max="4" width="20.44140625" customWidth="1"/>
    <col min="5" max="5" width="18" customWidth="1"/>
    <col min="6" max="6" width="20.21875" customWidth="1"/>
    <col min="7" max="7" width="19" customWidth="1"/>
    <col min="8" max="8" width="25.6640625" customWidth="1"/>
    <col min="9" max="9" width="11.5546875" customWidth="1"/>
    <col min="10" max="10" width="67.44140625" customWidth="1"/>
  </cols>
  <sheetData>
    <row r="1" spans="1:10" s="2" customFormat="1">
      <c r="A1" s="2" t="s">
        <v>138</v>
      </c>
      <c r="B1" s="2" t="s">
        <v>1</v>
      </c>
      <c r="C1" s="2" t="s">
        <v>65</v>
      </c>
      <c r="D1" s="2" t="s">
        <v>139</v>
      </c>
      <c r="E1" s="2" t="s">
        <v>140</v>
      </c>
      <c r="F1" s="2" t="s">
        <v>98</v>
      </c>
      <c r="G1" s="2" t="s">
        <v>141</v>
      </c>
      <c r="H1" s="2" t="s">
        <v>142</v>
      </c>
      <c r="I1" s="2" t="s">
        <v>4</v>
      </c>
      <c r="J1" s="2" t="s">
        <v>143</v>
      </c>
    </row>
    <row r="2" spans="1:10">
      <c r="A2" t="s">
        <v>144</v>
      </c>
      <c r="B2" t="s">
        <v>145</v>
      </c>
      <c r="C2" t="s">
        <v>16</v>
      </c>
      <c r="D2" t="s">
        <v>146</v>
      </c>
      <c r="E2" t="s">
        <v>147</v>
      </c>
      <c r="F2" t="s">
        <v>69</v>
      </c>
      <c r="G2" t="s">
        <v>148</v>
      </c>
      <c r="H2" t="s">
        <v>149</v>
      </c>
      <c r="I2" t="s">
        <v>150</v>
      </c>
      <c r="J2" t="s">
        <v>151</v>
      </c>
    </row>
    <row r="3" spans="1:10">
      <c r="A3" t="s">
        <v>152</v>
      </c>
      <c r="B3" t="s">
        <v>156</v>
      </c>
      <c r="C3" t="s">
        <v>24</v>
      </c>
      <c r="D3" t="s">
        <v>146</v>
      </c>
      <c r="E3" t="s">
        <v>157</v>
      </c>
      <c r="F3" t="s">
        <v>75</v>
      </c>
      <c r="G3" t="s">
        <v>148</v>
      </c>
      <c r="H3" t="s">
        <v>158</v>
      </c>
      <c r="I3" t="s">
        <v>150</v>
      </c>
      <c r="J3" t="s">
        <v>159</v>
      </c>
    </row>
    <row r="4" spans="1:10">
      <c r="A4" t="s">
        <v>153</v>
      </c>
      <c r="B4" t="s">
        <v>160</v>
      </c>
      <c r="C4" t="s">
        <v>38</v>
      </c>
      <c r="D4" t="s">
        <v>161</v>
      </c>
      <c r="E4" t="s">
        <v>147</v>
      </c>
      <c r="F4" t="s">
        <v>76</v>
      </c>
      <c r="G4" t="s">
        <v>162</v>
      </c>
      <c r="H4" t="s">
        <v>163</v>
      </c>
      <c r="I4" t="s">
        <v>84</v>
      </c>
      <c r="J4" t="s">
        <v>164</v>
      </c>
    </row>
    <row r="5" spans="1:10">
      <c r="A5" t="s">
        <v>154</v>
      </c>
      <c r="B5" t="s">
        <v>165</v>
      </c>
      <c r="C5" s="9" t="s">
        <v>31</v>
      </c>
      <c r="D5" t="s">
        <v>146</v>
      </c>
      <c r="E5" t="s">
        <v>166</v>
      </c>
      <c r="F5" t="s">
        <v>78</v>
      </c>
      <c r="G5" t="s">
        <v>148</v>
      </c>
      <c r="H5" t="s">
        <v>167</v>
      </c>
      <c r="I5" t="s">
        <v>150</v>
      </c>
      <c r="J5" t="s">
        <v>168</v>
      </c>
    </row>
    <row r="6" spans="1:10">
      <c r="A6" t="s">
        <v>155</v>
      </c>
      <c r="B6" t="s">
        <v>169</v>
      </c>
      <c r="C6" t="s">
        <v>16</v>
      </c>
      <c r="D6" t="s">
        <v>170</v>
      </c>
      <c r="E6" t="s">
        <v>166</v>
      </c>
      <c r="F6" t="s">
        <v>77</v>
      </c>
      <c r="G6" t="s">
        <v>148</v>
      </c>
      <c r="H6" t="s">
        <v>171</v>
      </c>
      <c r="I6" t="s">
        <v>150</v>
      </c>
      <c r="J6" t="s">
        <v>172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6C49-32F6-45E9-897E-74F5EF0F5E94}">
  <dimension ref="A1:B13"/>
  <sheetViews>
    <sheetView tabSelected="1" workbookViewId="0">
      <selection activeCell="K11" sqref="K11"/>
    </sheetView>
  </sheetViews>
  <sheetFormatPr defaultRowHeight="14.4"/>
  <cols>
    <col min="1" max="1" width="24.21875" customWidth="1"/>
    <col min="2" max="2" width="22.77734375" customWidth="1"/>
  </cols>
  <sheetData>
    <row r="1" spans="1:2" s="10" customFormat="1" ht="21">
      <c r="A1" s="11" t="s">
        <v>209</v>
      </c>
      <c r="B1" s="11"/>
    </row>
    <row r="3" spans="1:2" ht="12.6" customHeight="1">
      <c r="A3" s="12" t="s">
        <v>210</v>
      </c>
      <c r="B3" s="13">
        <f>COUNTA('Incident Log'!A2:A46)</f>
        <v>45</v>
      </c>
    </row>
    <row r="4" spans="1:2">
      <c r="A4" s="12" t="s">
        <v>211</v>
      </c>
      <c r="B4" s="13">
        <f>COUNTIF('Incident Log'!D2:D46,"P1")</f>
        <v>15</v>
      </c>
    </row>
    <row r="5" spans="1:2">
      <c r="A5" s="12" t="s">
        <v>212</v>
      </c>
      <c r="B5" s="13">
        <f>COUNTIF('Incident Log'!D2:D46,"P2")</f>
        <v>20</v>
      </c>
    </row>
    <row r="6" spans="1:2">
      <c r="A6" s="12" t="s">
        <v>213</v>
      </c>
      <c r="B6" s="13">
        <f>COUNTIF('Incident Log'!D2:D46,"P3")</f>
        <v>10</v>
      </c>
    </row>
    <row r="7" spans="1:2">
      <c r="A7" s="12" t="s">
        <v>214</v>
      </c>
      <c r="B7" s="13">
        <f>COUNTIF('Incident Log'!D2:D46,"P4")</f>
        <v>0</v>
      </c>
    </row>
    <row r="8" spans="1:2">
      <c r="A8" s="12"/>
      <c r="B8" s="13"/>
    </row>
    <row r="9" spans="1:2">
      <c r="A9" s="12" t="s">
        <v>215</v>
      </c>
      <c r="B9" s="13">
        <f>COUNTIF('Incident Log'!M2:M46,"YES")</f>
        <v>0</v>
      </c>
    </row>
    <row r="10" spans="1:2">
      <c r="A10" s="12" t="s">
        <v>216</v>
      </c>
      <c r="B10" s="13">
        <f>COUNTIF('Incident Log'!M2:M46,"NO")</f>
        <v>45</v>
      </c>
    </row>
    <row r="11" spans="1:2">
      <c r="A11" s="12"/>
      <c r="B11" s="13"/>
    </row>
    <row r="12" spans="1:2">
      <c r="A12" s="12" t="s">
        <v>217</v>
      </c>
      <c r="B12" s="14">
        <f>ROUND(AVERAGE('Incident Log'!L2:L46),2)</f>
        <v>1.06</v>
      </c>
    </row>
    <row r="13" spans="1:2">
      <c r="A13" s="12" t="s">
        <v>218</v>
      </c>
      <c r="B13" s="13" t="str">
        <f>ROUND((B10/B3)*100,2)&amp;"%"</f>
        <v>100%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Incident Log</vt:lpstr>
      <vt:lpstr>Problem Records</vt:lpstr>
      <vt:lpstr> KEDB</vt:lpstr>
      <vt:lpstr>Change Requests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kesharwani</dc:creator>
  <cp:lastModifiedBy>arpita kesharwani</cp:lastModifiedBy>
  <dcterms:created xsi:type="dcterms:W3CDTF">2026-07-03T08:10:34Z</dcterms:created>
  <dcterms:modified xsi:type="dcterms:W3CDTF">2026-07-03T12:51:51Z</dcterms:modified>
</cp:coreProperties>
</file>